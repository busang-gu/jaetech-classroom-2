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💰 최대 금액대 산출" sheetId="1" state="visible" r:id="rId1"/>
    <sheet xmlns:r="http://schemas.openxmlformats.org/officeDocument/2006/relationships" name="📍 지역·단지 리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나눔고딕"/>
      <b val="1"/>
      <color rgb="FFFFFFFF"/>
      <sz val="14"/>
    </font>
    <font>
      <name val="나눔고딕"/>
      <color rgb="FF2D2419"/>
      <sz val="8"/>
    </font>
    <font>
      <name val="나눔고딕"/>
      <b val="1"/>
      <color rgb="FFFFFFFF"/>
      <sz val="9"/>
    </font>
    <font>
      <name val="나눔고딕"/>
      <color rgb="FF2D2419"/>
      <sz val="9"/>
    </font>
    <font>
      <name val="나눔고딕"/>
      <color rgb="FF0000FF"/>
      <sz val="9"/>
    </font>
    <font>
      <name val="나눔고딕"/>
      <i val="1"/>
      <color rgb="FF2D2419"/>
      <sz val="8"/>
    </font>
    <font>
      <name val="나눔고딕"/>
      <b val="1"/>
      <color rgb="FF2D2419"/>
      <sz val="9"/>
    </font>
    <font>
      <name val="나눔고딕"/>
      <b val="1"/>
      <color rgb="FFFFFFFF"/>
      <sz val="10"/>
    </font>
    <font>
      <name val="나눔고딕"/>
      <b val="1"/>
      <color rgb="FFFFFFFF"/>
      <sz val="11"/>
    </font>
    <font>
      <name val="나눔고딕"/>
      <i val="1"/>
      <color rgb="FFFFFFFF"/>
      <sz val="8"/>
    </font>
    <font>
      <name val="나눔고딕"/>
      <color rgb="FF3F5A33"/>
      <sz val="8"/>
    </font>
    <font>
      <name val="나눔고딕"/>
      <i val="1"/>
      <color rgb="FF2D2419"/>
      <sz val="9"/>
    </font>
  </fonts>
  <fills count="8">
    <fill>
      <patternFill/>
    </fill>
    <fill>
      <patternFill patternType="gray125"/>
    </fill>
    <fill>
      <patternFill patternType="solid">
        <fgColor rgb="FF3F5A33"/>
      </patternFill>
    </fill>
    <fill>
      <patternFill patternType="solid">
        <fgColor rgb="FFF5EDD0"/>
      </patternFill>
    </fill>
    <fill>
      <patternFill patternType="solid">
        <fgColor rgb="FF5A7A4A"/>
      </patternFill>
    </fill>
    <fill>
      <patternFill patternType="solid">
        <fgColor rgb="FFFFFFFF"/>
      </patternFill>
    </fill>
    <fill>
      <patternFill patternType="solid">
        <fgColor rgb="FFEDE5CC"/>
      </patternFill>
    </fill>
    <fill>
      <patternFill patternType="solid">
        <fgColor rgb="FFEEF3E8"/>
      </patternFill>
    </fill>
  </fills>
  <borders count="7">
    <border>
      <left/>
      <right/>
      <top/>
      <bottom/>
      <diagonal/>
    </border>
    <border>
      <top style="thin">
        <color rgb="FFCFC8B0"/>
      </top>
      <bottom style="thin">
        <color rgb="FFCFC8B0"/>
      </bottom>
    </border>
    <border>
      <left style="thin">
        <color rgb="FFCFC8B0"/>
      </left>
      <right style="thin">
        <color rgb="FFCFC8B0"/>
      </right>
      <top style="thin">
        <color rgb="FFCFC8B0"/>
      </top>
      <bottom style="thin">
        <color rgb="FFCFC8B0"/>
      </bottom>
    </border>
    <border>
      <left/>
      <right/>
      <top style="thin">
        <color rgb="FFCFC8B0"/>
      </top>
      <bottom/>
      <diagonal/>
    </border>
    <border>
      <left/>
      <right style="thin">
        <color rgb="FFCFC8B0"/>
      </right>
      <top style="thin">
        <color rgb="FFCFC8B0"/>
      </top>
      <bottom/>
      <diagonal/>
    </border>
    <border>
      <left/>
      <right/>
      <top style="thin">
        <color rgb="FFCFC8B0"/>
      </top>
      <bottom style="thin">
        <color rgb="FFCFC8B0"/>
      </bottom>
      <diagonal/>
    </border>
    <border>
      <left/>
      <right style="thin">
        <color rgb="FFCFC8B0"/>
      </right>
      <top style="thin">
        <color rgb="FFCFC8B0"/>
      </top>
      <bottom style="thin">
        <color rgb="FFCFC8B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6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28" customWidth="1" min="4" max="4"/>
  </cols>
  <sheetData>
    <row r="1" ht="12" customHeight="1"/>
    <row r="2" ht="36" customHeight="1">
      <c r="A2" s="1" t="inlineStr">
        <is>
          <t>내 집도, 은퇴도 — 1기    |    과제 2. 살 수 있는 집 최대 금액대 산출</t>
        </is>
      </c>
    </row>
    <row r="3" ht="9.75" customHeight="1">
      <c r="A3" s="2" t="inlineStr">
        <is>
          <t>1주차 자산 현황표 숫자를 가져와 채워주세요  •  마감: 5월 17일(일) 23:59</t>
        </is>
      </c>
    </row>
    <row r="4" ht="19.5" customHeight="1">
      <c r="B4" s="3" t="inlineStr">
        <is>
          <t>항목</t>
        </is>
      </c>
      <c r="C4" s="3" t="inlineStr">
        <is>
          <t>금액 (만원)</t>
        </is>
      </c>
      <c r="D4" s="3" t="inlineStr">
        <is>
          <t>메모</t>
        </is>
      </c>
    </row>
    <row r="5" ht="19.5" customHeight="1">
      <c r="A5" s="4" t="inlineStr">
        <is>
          <t>① 1주차 자산 현황표에서 가져오기</t>
        </is>
      </c>
    </row>
    <row r="6" ht="21.75" customHeight="1">
      <c r="B6" s="5" t="inlineStr">
        <is>
          <t>현재 순자산 (자산 합계 − 부채 합계)</t>
        </is>
      </c>
      <c r="C6" s="6" t="n"/>
      <c r="D6" s="7" t="inlineStr">
        <is>
          <t>1주차 C30 값</t>
        </is>
      </c>
    </row>
    <row r="7" ht="21.75" customHeight="1">
      <c r="B7" s="5" t="inlineStr">
        <is>
          <t>매달 저축 가능액 (월 소득 − 월 지출)</t>
        </is>
      </c>
      <c r="C7" s="6" t="n"/>
      <c r="D7" s="7" t="inlineStr">
        <is>
          <t>월 단위</t>
        </is>
      </c>
    </row>
    <row r="8" ht="21.75" customHeight="1">
      <c r="B8" s="5" t="inlineStr">
        <is>
          <t>추가 가능 종잣돈 (부모 지원·예적금 만기 등)</t>
        </is>
      </c>
      <c r="C8" s="6" t="n"/>
      <c r="D8" s="7" t="inlineStr">
        <is>
          <t>없으면 0</t>
        </is>
      </c>
    </row>
    <row r="9" ht="21.75" customHeight="1">
      <c r="B9" s="5" t="inlineStr">
        <is>
          <t>입주 희망 시점 (몇 년 후)</t>
        </is>
      </c>
      <c r="C9" s="6" t="n"/>
      <c r="D9" s="7" t="inlineStr">
        <is>
          <t>예: 3 → 3년 후</t>
        </is>
      </c>
    </row>
    <row r="10" ht="6" customHeight="1"/>
    <row r="11" ht="19.5" customHeight="1">
      <c r="A11" s="4" t="inlineStr">
        <is>
          <t>② 입주 시점 자기자본 (현금성 자본)</t>
        </is>
      </c>
    </row>
    <row r="12" ht="21.75" customHeight="1">
      <c r="B12" s="8" t="inlineStr">
        <is>
          <t>입주 시점 모을 수 있는 총 자기자본 ▶</t>
        </is>
      </c>
      <c r="C12" s="9">
        <f>C6+C7*12*C9+C8</f>
        <v/>
      </c>
      <c r="D12" s="10" t="inlineStr">
        <is>
          <t>순자산 + (월저축 × 12 × 년수) + 추가종잣돈</t>
        </is>
      </c>
    </row>
    <row r="13" ht="21.75" customHeight="1">
      <c r="B13" s="5" t="inlineStr">
        <is>
          <t>취득세·중개비·이사비 예비비 (매수가의 5% 권장)</t>
        </is>
      </c>
      <c r="C13" s="6" t="n"/>
      <c r="D13" s="7" t="inlineStr">
        <is>
          <t>예: 5억 매수 → 2,500만원</t>
        </is>
      </c>
    </row>
    <row r="14" ht="6" customHeight="1"/>
    <row r="15" ht="19.5" customHeight="1">
      <c r="A15" s="4" t="inlineStr">
        <is>
          <t>③ 대출 가능 한도 (DSR·LTV 기준)</t>
        </is>
      </c>
    </row>
    <row r="16" ht="21.75" customHeight="1">
      <c r="B16" s="5" t="inlineStr">
        <is>
          <t>연 세후 소득 (만원)</t>
        </is>
      </c>
      <c r="C16" s="6" t="n"/>
      <c r="D16" s="7" t="inlineStr">
        <is>
          <t>본인 + 배우자 합산</t>
        </is>
      </c>
    </row>
    <row r="17" ht="21.75" customHeight="1">
      <c r="B17" s="11" t="inlineStr">
        <is>
          <t>월 가능 상환액 — DSR 40% 기준</t>
        </is>
      </c>
      <c r="C17" s="9">
        <f>ROUND(C16/12*0.4,0)</f>
        <v/>
      </c>
      <c r="D17" s="10" t="inlineStr">
        <is>
          <t>C16 / 12 × 0.4 자동 계산</t>
        </is>
      </c>
    </row>
    <row r="18" ht="21.75" customHeight="1">
      <c r="B18" s="11" t="inlineStr">
        <is>
          <t>가능 대출 원금 (30년·연 4% 가정)</t>
        </is>
      </c>
      <c r="C18" s="9">
        <f>ROUND(C17*209.5,0)</f>
        <v/>
      </c>
      <c r="D18" s="10" t="inlineStr">
        <is>
          <t>월상환액 × 209.5 자동 계산</t>
        </is>
      </c>
    </row>
    <row r="19" ht="21.75" customHeight="1">
      <c r="B19" s="5" t="inlineStr">
        <is>
          <t>LTV 한도 비율 (%)</t>
        </is>
      </c>
      <c r="C19" s="6" t="n"/>
      <c r="D19" s="7" t="inlineStr">
        <is>
          <t>비규제 70 / 조정대상 50 / 투기 40</t>
        </is>
      </c>
    </row>
    <row r="20" ht="6" customHeight="1"/>
    <row r="21" ht="19.5" customHeight="1">
      <c r="A21" s="4" t="inlineStr">
        <is>
          <t>④ 살 수 있는 집 최대 금액대 (결과)</t>
        </is>
      </c>
    </row>
    <row r="22" ht="21.75" customHeight="1">
      <c r="B22" s="8" t="inlineStr">
        <is>
          <t>이론상 최대 매수가 (자기자본 + 대출)</t>
        </is>
      </c>
      <c r="C22" s="9">
        <f>C12-C13+C18</f>
        <v/>
      </c>
      <c r="D22" s="10" t="inlineStr">
        <is>
          <t>예비비 차감 + 대출 합산</t>
        </is>
      </c>
    </row>
    <row r="23" ht="27.75" customHeight="1">
      <c r="B23" s="12" t="inlineStr">
        <is>
          <t>★ 안전 매수가 (이론상의 90% 권장)</t>
        </is>
      </c>
      <c r="C23" s="13">
        <f>ROUND(C22*0.9,0)</f>
        <v/>
      </c>
      <c r="D23" s="14" t="inlineStr">
        <is>
          <t>시세 변동·금리 인상 버퍼 10%</t>
        </is>
      </c>
    </row>
    <row r="24" ht="6" customHeight="1"/>
    <row r="25" ht="18" customHeight="1">
      <c r="A25" s="15" t="inlineStr">
        <is>
          <t>💡  파란색 칸에만 입력하세요  •  ②④ 모래색 칸은 자동 계산  •  대출 한도는 가정값(연 4%, 30년)이며 실제는 은행 상담 필요</t>
        </is>
      </c>
    </row>
    <row r="26" ht="18" customHeight="1">
      <c r="A26" s="16" t="inlineStr">
        <is>
          <t>⚠  LTV·DSR은 정책에 따라 변동됩니다. 실제 매수 직전 은행·중개사 상담으로 확정해주세요.</t>
        </is>
      </c>
    </row>
  </sheetData>
  <mergeCells count="8">
    <mergeCell ref="A5:D5"/>
    <mergeCell ref="A3:D3"/>
    <mergeCell ref="A26:D26"/>
    <mergeCell ref="A21:D21"/>
    <mergeCell ref="A15:D15"/>
    <mergeCell ref="A25:D25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8" customWidth="1" min="4" max="4"/>
    <col width="13" customWidth="1" min="5" max="5"/>
    <col width="13" customWidth="1" min="6" max="6"/>
    <col width="11" customWidth="1" min="7" max="7"/>
    <col width="24" customWidth="1" min="8" max="8"/>
  </cols>
  <sheetData>
    <row r="1" ht="12" customHeight="1"/>
    <row r="2" ht="36" customHeight="1">
      <c r="A2" s="1" t="inlineStr">
        <is>
          <t>내 집도, 은퇴도 — 1기    |    과제 3. 직장 거리 기준 지역·단지 후보 리스트</t>
        </is>
      </c>
    </row>
    <row r="3" ht="9.75" customHeight="1">
      <c r="A3" s="2" t="inlineStr">
        <is>
          <t>시트1에서 나온 안전 매수가 안에서 후보 단지를 채워주세요  •  네이버부동산·호갱노노·아실 활용</t>
        </is>
      </c>
    </row>
    <row r="5" ht="19.5" customHeight="1">
      <c r="B5" s="17" t="inlineStr">
        <is>
          <t>📌 작성 가이드</t>
        </is>
      </c>
    </row>
    <row r="6" ht="21.75" customHeight="1">
      <c r="B6" s="18" t="inlineStr">
        <is>
          <t>① 직장 위치 입력 → 출퇴근 허용 시간(예: 60분 이내) 설정</t>
        </is>
      </c>
    </row>
    <row r="7" ht="21.75" customHeight="1">
      <c r="B7" s="18" t="inlineStr">
        <is>
          <t>② 시트1 안전 매수가 안에서 후보 지역 5~7곳 추리기</t>
        </is>
      </c>
    </row>
    <row r="8" ht="21.75" customHeight="1">
      <c r="B8" s="18" t="inlineStr">
        <is>
          <t>③ 각 단지별로 매매가·전세가·통근시간·평형 기록 (네이버부동산·호갱노노·아실)</t>
        </is>
      </c>
    </row>
    <row r="9" ht="21.75" customHeight="1">
      <c r="B9" s="18" t="inlineStr">
        <is>
          <t>④ 마지막에 ★ 1순위 / ☆ 2순위 표시</t>
        </is>
      </c>
    </row>
    <row r="10" ht="6" customHeight="1"/>
    <row r="11" ht="21.75" customHeight="1">
      <c r="B11" s="19" t="inlineStr">
        <is>
          <t>내 직장 위치</t>
        </is>
      </c>
      <c r="D11" s="6" t="n"/>
      <c r="E11" s="25" t="n"/>
      <c r="F11" s="19" t="inlineStr">
        <is>
          <t>출퇴근 허용 시간(분)</t>
        </is>
      </c>
      <c r="H11" s="6" t="n"/>
    </row>
    <row r="12" ht="6" customHeight="1"/>
    <row r="13" ht="19.5" customHeight="1">
      <c r="A13" s="20" t="inlineStr">
        <is>
          <t>순위</t>
        </is>
      </c>
      <c r="B13" s="20" t="inlineStr">
        <is>
          <t>지역 (구·동)</t>
        </is>
      </c>
      <c r="C13" s="20" t="inlineStr">
        <is>
          <t>단지명</t>
        </is>
      </c>
      <c r="D13" s="20" t="inlineStr">
        <is>
          <t>평형</t>
        </is>
      </c>
      <c r="E13" s="20" t="inlineStr">
        <is>
          <t>매매가 (만원)</t>
        </is>
      </c>
      <c r="F13" s="20" t="inlineStr">
        <is>
          <t>전세가 (만원)</t>
        </is>
      </c>
      <c r="G13" s="20" t="inlineStr">
        <is>
          <t>통근시간(분)</t>
        </is>
      </c>
      <c r="H13" s="20" t="inlineStr">
        <is>
          <t>메모 (장단점)</t>
        </is>
      </c>
    </row>
    <row r="14" ht="21.75" customHeight="1">
      <c r="A14" s="21" t="inlineStr">
        <is>
          <t>예시</t>
        </is>
      </c>
      <c r="B14" s="21" t="inlineStr">
        <is>
          <t>서울 강서구 마곡동</t>
        </is>
      </c>
      <c r="C14" s="21" t="inlineStr">
        <is>
          <t>마곡엠밸리7단지</t>
        </is>
      </c>
      <c r="D14" s="21" t="inlineStr">
        <is>
          <t>24평</t>
        </is>
      </c>
      <c r="E14" s="21" t="n"/>
      <c r="F14" s="21" t="n"/>
      <c r="G14" s="21" t="n">
        <v>35</v>
      </c>
      <c r="H14" s="22" t="inlineStr">
        <is>
          <t>직장(여의도) 35분·9호선·초품아 단지</t>
        </is>
      </c>
    </row>
    <row r="15" ht="21.75" customHeight="1">
      <c r="A15" s="6" t="n"/>
      <c r="B15" s="6" t="n"/>
      <c r="C15" s="6" t="n"/>
      <c r="D15" s="6" t="n"/>
      <c r="E15" s="6" t="n"/>
      <c r="F15" s="6" t="n"/>
      <c r="G15" s="6" t="n"/>
      <c r="H15" s="23" t="n"/>
    </row>
    <row r="16" ht="21.75" customHeight="1">
      <c r="A16" s="6" t="n"/>
      <c r="B16" s="6" t="n"/>
      <c r="C16" s="6" t="n"/>
      <c r="D16" s="6" t="n"/>
      <c r="E16" s="6" t="n"/>
      <c r="F16" s="6" t="n"/>
      <c r="G16" s="6" t="n"/>
      <c r="H16" s="23" t="n"/>
    </row>
    <row r="17" ht="21.75" customHeight="1">
      <c r="A17" s="6" t="n"/>
      <c r="B17" s="6" t="n"/>
      <c r="C17" s="6" t="n"/>
      <c r="D17" s="6" t="n"/>
      <c r="E17" s="6" t="n"/>
      <c r="F17" s="6" t="n"/>
      <c r="G17" s="6" t="n"/>
      <c r="H17" s="23" t="n"/>
    </row>
    <row r="18" ht="21.75" customHeight="1">
      <c r="A18" s="6" t="n"/>
      <c r="B18" s="6" t="n"/>
      <c r="C18" s="6" t="n"/>
      <c r="D18" s="6" t="n"/>
      <c r="E18" s="6" t="n"/>
      <c r="F18" s="6" t="n"/>
      <c r="G18" s="6" t="n"/>
      <c r="H18" s="23" t="n"/>
    </row>
    <row r="19" ht="21.75" customHeight="1">
      <c r="A19" s="6" t="n"/>
      <c r="B19" s="6" t="n"/>
      <c r="C19" s="6" t="n"/>
      <c r="D19" s="6" t="n"/>
      <c r="E19" s="6" t="n"/>
      <c r="F19" s="6" t="n"/>
      <c r="G19" s="6" t="n"/>
      <c r="H19" s="23" t="n"/>
    </row>
    <row r="20" ht="21.75" customHeight="1">
      <c r="A20" s="6" t="n"/>
      <c r="B20" s="6" t="n"/>
      <c r="C20" s="6" t="n"/>
      <c r="D20" s="6" t="n"/>
      <c r="E20" s="6" t="n"/>
      <c r="F20" s="6" t="n"/>
      <c r="G20" s="6" t="n"/>
      <c r="H20" s="23" t="n"/>
    </row>
    <row r="21" ht="21.75" customHeight="1">
      <c r="A21" s="6" t="n"/>
      <c r="B21" s="6" t="n"/>
      <c r="C21" s="6" t="n"/>
      <c r="D21" s="6" t="n"/>
      <c r="E21" s="6" t="n"/>
      <c r="F21" s="6" t="n"/>
      <c r="G21" s="6" t="n"/>
      <c r="H21" s="23" t="n"/>
    </row>
    <row r="22" ht="6" customHeight="1"/>
    <row r="23" ht="21.75" customHeight="1">
      <c r="A23" s="24" t="inlineStr">
        <is>
          <t>후보 평균 매매가 ▶</t>
        </is>
      </c>
      <c r="B23" s="26" t="n"/>
      <c r="C23" s="26" t="n"/>
      <c r="D23" s="25" t="n"/>
      <c r="E23" s="9">
        <f>IFERROR(AVERAGE(E15:E21),"")</f>
        <v/>
      </c>
      <c r="F23" s="9">
        <f>IFERROR(AVERAGE(F15:F21),"")</f>
        <v/>
      </c>
      <c r="G23" s="9">
        <f>IFERROR(AVERAGE(G15:G21),"")</f>
        <v/>
      </c>
      <c r="H23" s="10" t="inlineStr">
        <is>
          <t>평균 통근시간(분)</t>
        </is>
      </c>
    </row>
    <row r="24" ht="6" customHeight="1"/>
    <row r="25" ht="18" customHeight="1">
      <c r="A25" s="15" t="inlineStr">
        <is>
          <t>💡  순위 칸에 ★(1순위) / ☆(2순위) / ○(후보) 표시  •  매매가는 시트1 안전 매수가 이내로 후보 추리기  •  전세가는 갭투자·전세끼고매매 검토용</t>
        </is>
      </c>
    </row>
    <row r="26" ht="18" customHeight="1">
      <c r="A26" s="16" t="inlineStr">
        <is>
          <t>🔍  추천 검색 사이트 — 네이버부동산(시세) · 호갱노노(실거래·학군) · 아실(매물·갭) · 부동산지인(분석)</t>
        </is>
      </c>
    </row>
  </sheetData>
  <mergeCells count="13">
    <mergeCell ref="B8:H8"/>
    <mergeCell ref="A3:H3"/>
    <mergeCell ref="A26:H26"/>
    <mergeCell ref="F11:G11"/>
    <mergeCell ref="A23:D23"/>
    <mergeCell ref="B9:H9"/>
    <mergeCell ref="B11:C11"/>
    <mergeCell ref="A25:H25"/>
    <mergeCell ref="D11:E11"/>
    <mergeCell ref="A2:H2"/>
    <mergeCell ref="B6:H6"/>
    <mergeCell ref="B7:H7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2026-05-10T14:50:31Z</dcterms:created>
  <dcterms:modified xmlns:dcterms="http://purl.org/dc/terms/" xmlns:xsi="http://www.w3.org/2001/XMLSchema-instance" xsi:type="dcterms:W3CDTF">2026-05-10T14:53:33Z</dcterms:modified>
</cp:coreProperties>
</file>